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Gerardo\Downloads\"/>
    </mc:Choice>
  </mc:AlternateContent>
  <xr:revisionPtr revIDLastSave="0" documentId="13_ncr:1_{5B844976-C1F3-4D8C-A961-1AAF5030EEB7}" xr6:coauthVersionLast="47" xr6:coauthVersionMax="47" xr10:uidLastSave="{00000000-0000-0000-0000-000000000000}"/>
  <bookViews>
    <workbookView xWindow="-120" yWindow="-120" windowWidth="29040" windowHeight="15720" xr2:uid="{61F1A8F1-8C84-4C29-9168-B6842D663422}"/>
  </bookViews>
  <sheets>
    <sheet name="Hoja1" sheetId="1" r:id="rId1"/>
  </sheets>
  <definedNames>
    <definedName name="cuadro">Hoja1!$A$2:$J$43</definedName>
  </definedNames>
  <calcPr calcId="191029"/>
  <pivotCaches>
    <pivotCache cacheId="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<sst xmlns="http://schemas.openxmlformats.org/spreadsheetml/2006/main" count="315" uniqueCount="116">
  <si>
    <t>Codigo</t>
  </si>
  <si>
    <t>Apellidos</t>
  </si>
  <si>
    <t>Nombres</t>
  </si>
  <si>
    <t>Distrito</t>
  </si>
  <si>
    <t>Seccion</t>
  </si>
  <si>
    <t>Curso</t>
  </si>
  <si>
    <t xml:space="preserve">Sexo </t>
  </si>
  <si>
    <t>Aporte</t>
  </si>
  <si>
    <t>Edad</t>
  </si>
  <si>
    <t>Promedio</t>
  </si>
  <si>
    <t>Aguedo Cruz</t>
  </si>
  <si>
    <t>Gerald Nolasco</t>
  </si>
  <si>
    <t>Lince</t>
  </si>
  <si>
    <t>A</t>
  </si>
  <si>
    <t>Python</t>
  </si>
  <si>
    <t>M</t>
  </si>
  <si>
    <t>Arevalo Mori</t>
  </si>
  <si>
    <t>Carlos Alberto</t>
  </si>
  <si>
    <t>Ate</t>
  </si>
  <si>
    <t>Photoshop </t>
  </si>
  <si>
    <t xml:space="preserve">Bendezu Flores </t>
  </si>
  <si>
    <t>Yesica Beatriz</t>
  </si>
  <si>
    <t>F</t>
  </si>
  <si>
    <t>Torres Flores</t>
  </si>
  <si>
    <t>Marco Antonio</t>
  </si>
  <si>
    <t>E</t>
  </si>
  <si>
    <t>Excel</t>
  </si>
  <si>
    <t>Ruiz Perez</t>
  </si>
  <si>
    <t>Maria Rosa</t>
  </si>
  <si>
    <t>SQL</t>
  </si>
  <si>
    <t>Morales Salas</t>
  </si>
  <si>
    <t>Juan Manuel</t>
  </si>
  <si>
    <t>JavaScript</t>
  </si>
  <si>
    <t>Mendoza Peña</t>
  </si>
  <si>
    <t>Ricardo Manuel</t>
  </si>
  <si>
    <t>Peña Sanchez</t>
  </si>
  <si>
    <t>Karla Rosa</t>
  </si>
  <si>
    <t>Rimac</t>
  </si>
  <si>
    <t>Lopez Salazar</t>
  </si>
  <si>
    <t>Julio Raul</t>
  </si>
  <si>
    <t>Quiroz Mendoza</t>
  </si>
  <si>
    <t>Sara</t>
  </si>
  <si>
    <t>Lavarte Nuñez</t>
  </si>
  <si>
    <t>Ricardo</t>
  </si>
  <si>
    <t>Lopez Juarez</t>
  </si>
  <si>
    <t>Guisella</t>
  </si>
  <si>
    <t>C</t>
  </si>
  <si>
    <t>Liñan Quiroz</t>
  </si>
  <si>
    <t>Luis Miguel</t>
  </si>
  <si>
    <t>Bernuy Caceres</t>
  </si>
  <si>
    <t>Paul Michel</t>
  </si>
  <si>
    <t>Brañez Mendoza</t>
  </si>
  <si>
    <t>Blanca Vanessa</t>
  </si>
  <si>
    <t>Ramirez Rodriguez</t>
  </si>
  <si>
    <t>Jessica Ines</t>
  </si>
  <si>
    <t>Breña</t>
  </si>
  <si>
    <t>B</t>
  </si>
  <si>
    <t>Casiano Estrada</t>
  </si>
  <si>
    <t>Victor</t>
  </si>
  <si>
    <t>Smp</t>
  </si>
  <si>
    <t>Castanogla Barriga</t>
  </si>
  <si>
    <t>Giuesppe</t>
  </si>
  <si>
    <t>Galvez de la Barra</t>
  </si>
  <si>
    <t>Eduardo Aurelio</t>
  </si>
  <si>
    <t>Gonzales Caceres</t>
  </si>
  <si>
    <t>Bruno Antonio</t>
  </si>
  <si>
    <t>Inga Lopez</t>
  </si>
  <si>
    <t>Jose Luis</t>
  </si>
  <si>
    <t>Jimenez Cruz</t>
  </si>
  <si>
    <t>Roxana</t>
  </si>
  <si>
    <t>La Madrid Carmen</t>
  </si>
  <si>
    <t>Miriam Rosalin</t>
  </si>
  <si>
    <t>Loayza Huapaya</t>
  </si>
  <si>
    <t>Luis Angel</t>
  </si>
  <si>
    <t>Magallanes Aburto</t>
  </si>
  <si>
    <t>Rosa Fabiola</t>
  </si>
  <si>
    <t>Medina Molina</t>
  </si>
  <si>
    <t>Noemi Mariela</t>
  </si>
  <si>
    <t>Niquen Salinas</t>
  </si>
  <si>
    <t>Mario Alexis</t>
  </si>
  <si>
    <t>Prieto Marcos</t>
  </si>
  <si>
    <t>Quintanilla Quintanilla</t>
  </si>
  <si>
    <t>Aurora Zoila</t>
  </si>
  <si>
    <t>Quintana suarez</t>
  </si>
  <si>
    <t>Robinson Martín</t>
  </si>
  <si>
    <t>Reyes Quispe</t>
  </si>
  <si>
    <t>Liliana Matilde</t>
  </si>
  <si>
    <t>Riofrio Suyon</t>
  </si>
  <si>
    <t>Jorge Jhon</t>
  </si>
  <si>
    <t>Rivera Osorio</t>
  </si>
  <si>
    <t>Edith</t>
  </si>
  <si>
    <t>Rodriguez Chavez</t>
  </si>
  <si>
    <t>Gustavo Ricardo</t>
  </si>
  <si>
    <t>Rodriguez Garcia</t>
  </si>
  <si>
    <t>Jhoni Glicerio</t>
  </si>
  <si>
    <t>D</t>
  </si>
  <si>
    <t>Sanchez Alvarado</t>
  </si>
  <si>
    <t>Richard Chirstian</t>
  </si>
  <si>
    <t>Sulca Montenegro</t>
  </si>
  <si>
    <t>Nmaria Esperanza</t>
  </si>
  <si>
    <t>Mendoza Quiroz</t>
  </si>
  <si>
    <t>Liuis Miguel</t>
  </si>
  <si>
    <t>Salazar Rios</t>
  </si>
  <si>
    <t>Grados Cabrera</t>
  </si>
  <si>
    <t>Victoria</t>
  </si>
  <si>
    <t>Cataño Romero</t>
  </si>
  <si>
    <t>Antonio</t>
  </si>
  <si>
    <t>IMPORTE DE CADA DISTRITO POR CURSO MATRICULADO</t>
  </si>
  <si>
    <t>Etiquetas de fila</t>
  </si>
  <si>
    <t>Total general</t>
  </si>
  <si>
    <t>Etiquetas de columna</t>
  </si>
  <si>
    <t>Suma de Aporte</t>
  </si>
  <si>
    <t>Cuenta de Codigo</t>
  </si>
  <si>
    <t>TOTAL DE ALUMNOS MATRICULADOS EN CURSOS POR DISTRITO, DISTRIBUIDO POR SECCIÓN</t>
  </si>
  <si>
    <t>Promedio de Promedio</t>
  </si>
  <si>
    <t>PROMEDIO POR CURSO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</si>
</sst>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S/-280A]\ * #,##0.00_-;\-[$S/-280A]\ * #,##0.00_-;_-[$S/-280A]\ * &quot;-&quot;??_-;_-@_-"/>
  </numFmts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4" fontId="2" fillId="0" borderId="1" xfId="0" applyNumberFormat="1" applyFont="1" applyBorder="1" applyAlignment="1">
      <alignment horizontal="right"/>
    </xf>
    <xf numFmtId="4" fontId="2" fillId="0" borderId="1" xfId="0" applyNumberFormat="1" applyFont="1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0" fillId="0" borderId="1" xfId="0" applyBorder="1" applyAlignment="1">
      <alignment horizontal="left" indent="1"/>
    </xf>
    <xf numFmtId="0" fontId="0" fillId="0" borderId="0" xfId="0" applyFill="1" applyBorder="1" applyAlignment="1">
      <alignment horizontal="left"/>
    </xf>
    <xf numFmtId="164" fontId="0" fillId="0" borderId="1" xfId="0" applyNumberFormat="1" applyBorder="1"/>
    <xf numFmtId="2" fontId="0" fillId="0" borderId="1" xfId="0" applyNumberFormat="1" applyBorder="1"/>
    <xf numFmtId="0" fontId="0" fillId="0" borderId="0" xfId="0" applyBorder="1"/>
  </cellXfs>
  <cellStyles count="1">
    <cellStyle name="Normal" xfId="0" builtinId="0"/>
  </cellStyles>
  <dxfs count="76"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[$S/-280A]\ * #,##0.00_-;\-[$S/-280A]\ * #,##0.00_-;_-[$S/-280A]\ * &quot;-&quot;??_-;_-@_-"/>
    </dxf>
    <dxf>
      <numFmt numFmtId="2" formatCode="0.00"/>
    </dxf>
    <dxf>
      <numFmt numFmtId="164" formatCode="_-[$S/-280A]\ * #,##0.00_-;\-[$S/-280A]\ * #,##0.00_-;_-[$S/-280A]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[control_distrito_2025.xlsx]Hoja1!TablaDinámica1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Hoja1!$M$41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Hoja1!$L$42:$L$47</c:f>
              <c:strCache>
                <c:ptCount val="5"/>
                <c:pt idx="0">
                  <c:v>Excel</c:v>
                </c:pt>
                <c:pt idx="1">
                  <c:v>JavaScript</c:v>
                </c:pt>
                <c:pt idx="2">
                  <c:v>Photoshop </c:v>
                </c:pt>
                <c:pt idx="3">
                  <c:v>Python</c:v>
                </c:pt>
                <c:pt idx="4">
                  <c:v>SQL</c:v>
                </c:pt>
              </c:strCache>
            </c:strRef>
          </c:cat>
          <c:val>
            <c:numRef>
              <c:f>Hoja1!$M$42:$M$47</c:f>
              <c:numCache>
                <c:formatCode>0.00</c:formatCode>
                <c:ptCount val="5"/>
                <c:pt idx="0">
                  <c:v>16.2</c:v>
                </c:pt>
                <c:pt idx="1">
                  <c:v>13.838333333333333</c:v>
                </c:pt>
                <c:pt idx="2">
                  <c:v>13.128333333333332</c:v>
                </c:pt>
                <c:pt idx="3">
                  <c:v>13.779090909090909</c:v>
                </c:pt>
                <c:pt idx="4">
                  <c:v>14.036000000000001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13-4AD6-949D-6A717691A6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74018800"/>
        <c:axId val="1574017552"/>
      </c:barChart>
      <c:catAx>
        <c:axId val="157401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574017552"/>
        <c:crosses val="autoZero"/>
        <c:auto val="1"/>
        <c:lblAlgn val="ctr"/>
        <c:lblOffset val="100"/>
        <c:noMultiLvlLbl val="0"/>
      </c:catAx>
      <c:valAx>
        <c:axId val="157401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574018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381000</xdr:colOff>
      <xdr:row>39</xdr:row>
      <xdr:rowOff>166687</xdr:rowOff>
    </xdr:from>
    <xdr:to>
      <xdr:col>17</xdr:col>
      <xdr:colOff>676275</xdr:colOff>
      <xdr:row>54</xdr:row>
      <xdr:rowOff>52387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E280C92-6BEB-49D9-8C31-602FE099A7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rardo" refreshedDate="45996.886814814818" createdVersion="7" refreshedVersion="7" minRefreshableVersion="3" recordCount="41" xr:uid="{E505E4C5-ACFD-4D6D-998C-282EB05D1FE3}">
  <cacheSource type="worksheet">
    <worksheetSource name="cuadro"/>
  </cacheSource>
  <cacheFields count="10">
    <cacheField name="Codigo" numFmtId="0">
      <sharedItems containsSemiMixedTypes="0" containsString="0" containsNumber="1" containsInteger="1" minValue="1" maxValue="41"/>
    </cacheField>
    <cacheField name="Apellidos" numFmtId="0">
      <sharedItems/>
    </cacheField>
    <cacheField name="Nombres" numFmtId="0">
      <sharedItems/>
    </cacheField>
    <cacheField name="Distrito" numFmtId="0">
      <sharedItems count="5">
        <s v="Lince"/>
        <s v="Ate"/>
        <s v="Rimac"/>
        <s v="Breña"/>
        <s v="Smp"/>
      </sharedItems>
    </cacheField>
    <cacheField name="Seccion" numFmtId="0">
      <sharedItems count="5">
        <s v="A"/>
        <s v="E"/>
        <s v="C"/>
        <s v="B"/>
        <s v="D"/>
      </sharedItems>
    </cacheField>
    <cacheField name="Curso" numFmtId="0">
      <sharedItems count="5">
        <s v="Python"/>
        <s v="Photoshop "/>
        <s v="Excel"/>
        <s v="SQL"/>
        <s v="JavaScript"/>
      </sharedItems>
    </cacheField>
    <cacheField name="Sexo " numFmtId="0">
      <sharedItems/>
    </cacheField>
    <cacheField name="Aporte" numFmtId="4">
      <sharedItems containsSemiMixedTypes="0" containsString="0" containsNumber="1" containsInteger="1" minValue="98" maxValue="1200"/>
    </cacheField>
    <cacheField name="Edad" numFmtId="0">
      <sharedItems containsSemiMixedTypes="0" containsString="0" containsNumber="1" containsInteger="1" minValue="16" maxValue="29"/>
    </cacheField>
    <cacheField name="Promedio" numFmtId="4">
      <sharedItems containsSemiMixedTypes="0" containsString="0" containsNumber="1" minValue="8" maxValue="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n v="1"/>
    <s v="Aguedo Cruz"/>
    <s v="Gerald Nolasco"/>
    <x v="0"/>
    <x v="0"/>
    <x v="0"/>
    <s v="M"/>
    <n v="500"/>
    <n v="21"/>
    <n v="13.67"/>
  </r>
  <r>
    <n v="2"/>
    <s v="Arevalo Mori"/>
    <s v="Carlos Alberto"/>
    <x v="1"/>
    <x v="0"/>
    <x v="1"/>
    <s v="M"/>
    <n v="380"/>
    <n v="18"/>
    <n v="14.5"/>
  </r>
  <r>
    <n v="3"/>
    <s v="Bendezu Flores "/>
    <s v="Yesica Beatriz"/>
    <x v="1"/>
    <x v="0"/>
    <x v="0"/>
    <s v="F"/>
    <n v="500"/>
    <n v="22"/>
    <n v="11"/>
  </r>
  <r>
    <n v="4"/>
    <s v="Torres Flores"/>
    <s v="Marco Antonio"/>
    <x v="0"/>
    <x v="1"/>
    <x v="2"/>
    <s v="M"/>
    <n v="540"/>
    <n v="23"/>
    <n v="13.4"/>
  </r>
  <r>
    <n v="5"/>
    <s v="Ruiz Perez"/>
    <s v="Maria Rosa"/>
    <x v="0"/>
    <x v="1"/>
    <x v="3"/>
    <s v="F"/>
    <n v="500"/>
    <n v="24"/>
    <n v="16.5"/>
  </r>
  <r>
    <n v="6"/>
    <s v="Morales Salas"/>
    <s v="Juan Manuel"/>
    <x v="0"/>
    <x v="1"/>
    <x v="4"/>
    <s v="M"/>
    <n v="650"/>
    <n v="18"/>
    <n v="13"/>
  </r>
  <r>
    <n v="7"/>
    <s v="Mendoza Peña"/>
    <s v="Ricardo Manuel"/>
    <x v="1"/>
    <x v="1"/>
    <x v="0"/>
    <s v="M"/>
    <n v="650"/>
    <n v="19"/>
    <n v="15"/>
  </r>
  <r>
    <n v="8"/>
    <s v="Peña Sanchez"/>
    <s v="Karla Rosa"/>
    <x v="2"/>
    <x v="0"/>
    <x v="4"/>
    <s v="F"/>
    <n v="860"/>
    <n v="22"/>
    <n v="17"/>
  </r>
  <r>
    <n v="9"/>
    <s v="Lopez Salazar"/>
    <s v="Julio Raul"/>
    <x v="1"/>
    <x v="1"/>
    <x v="2"/>
    <s v="M"/>
    <n v="650"/>
    <n v="26"/>
    <n v="19"/>
  </r>
  <r>
    <n v="10"/>
    <s v="Quiroz Mendoza"/>
    <s v="Sara"/>
    <x v="0"/>
    <x v="1"/>
    <x v="3"/>
    <s v="F"/>
    <n v="98"/>
    <n v="24"/>
    <n v="14"/>
  </r>
  <r>
    <n v="11"/>
    <s v="Lavarte Nuñez"/>
    <s v="Ricardo"/>
    <x v="2"/>
    <x v="1"/>
    <x v="0"/>
    <s v="M"/>
    <n v="700"/>
    <n v="28"/>
    <n v="15"/>
  </r>
  <r>
    <n v="12"/>
    <s v="Lopez Juarez"/>
    <s v="Guisella"/>
    <x v="0"/>
    <x v="2"/>
    <x v="1"/>
    <s v="F"/>
    <n v="650"/>
    <n v="25"/>
    <n v="11"/>
  </r>
  <r>
    <n v="13"/>
    <s v="Liñan Quiroz"/>
    <s v="Luis Miguel"/>
    <x v="0"/>
    <x v="2"/>
    <x v="4"/>
    <s v="M"/>
    <n v="780"/>
    <n v="22"/>
    <n v="13"/>
  </r>
  <r>
    <n v="14"/>
    <s v="Bernuy Caceres"/>
    <s v="Paul Michel"/>
    <x v="0"/>
    <x v="0"/>
    <x v="3"/>
    <s v="M"/>
    <n v="540"/>
    <n v="17"/>
    <n v="12.7"/>
  </r>
  <r>
    <n v="15"/>
    <s v="Brañez Mendoza"/>
    <s v="Blanca Vanessa"/>
    <x v="0"/>
    <x v="0"/>
    <x v="3"/>
    <s v="F"/>
    <n v="700"/>
    <n v="28"/>
    <n v="13.3"/>
  </r>
  <r>
    <n v="16"/>
    <s v="Ramirez Rodriguez"/>
    <s v="Jessica Ines"/>
    <x v="3"/>
    <x v="3"/>
    <x v="4"/>
    <s v="F"/>
    <n v="940"/>
    <n v="18"/>
    <n v="18.8"/>
  </r>
  <r>
    <n v="17"/>
    <s v="Casiano Estrada"/>
    <s v="Victor"/>
    <x v="4"/>
    <x v="0"/>
    <x v="0"/>
    <s v="M"/>
    <n v="1000"/>
    <n v="16"/>
    <n v="14.68"/>
  </r>
  <r>
    <n v="18"/>
    <s v="Castanogla Barriga"/>
    <s v="Giuesppe"/>
    <x v="1"/>
    <x v="0"/>
    <x v="0"/>
    <s v="M"/>
    <n v="1000"/>
    <n v="20"/>
    <n v="16.5"/>
  </r>
  <r>
    <n v="19"/>
    <s v="Galvez de la Barra"/>
    <s v="Eduardo Aurelio"/>
    <x v="4"/>
    <x v="3"/>
    <x v="3"/>
    <s v="M"/>
    <n v="380"/>
    <n v="21"/>
    <n v="17.47"/>
  </r>
  <r>
    <n v="20"/>
    <s v="Gonzales Caceres"/>
    <s v="Bruno Antonio"/>
    <x v="2"/>
    <x v="3"/>
    <x v="3"/>
    <s v="M"/>
    <n v="1000"/>
    <n v="19"/>
    <n v="16.670000000000002"/>
  </r>
  <r>
    <n v="21"/>
    <s v="Inga Lopez"/>
    <s v="Jose Luis"/>
    <x v="0"/>
    <x v="3"/>
    <x v="4"/>
    <s v="M"/>
    <n v="1000"/>
    <n v="25"/>
    <n v="13.93"/>
  </r>
  <r>
    <n v="22"/>
    <s v="Jimenez Cruz"/>
    <s v="Roxana"/>
    <x v="4"/>
    <x v="3"/>
    <x v="4"/>
    <s v="F"/>
    <n v="900"/>
    <n v="17"/>
    <n v="11.17"/>
  </r>
  <r>
    <n v="23"/>
    <s v="La Madrid Carmen"/>
    <s v="Miriam Rosalin"/>
    <x v="4"/>
    <x v="3"/>
    <x v="4"/>
    <s v="F"/>
    <n v="900"/>
    <n v="28"/>
    <n v="13.33"/>
  </r>
  <r>
    <n v="24"/>
    <s v="Loayza Huapaya"/>
    <s v="Luis Angel"/>
    <x v="0"/>
    <x v="3"/>
    <x v="4"/>
    <s v="M"/>
    <n v="470"/>
    <n v="26"/>
    <n v="12.93"/>
  </r>
  <r>
    <n v="25"/>
    <s v="Magallanes Aburto"/>
    <s v="Rosa Fabiola"/>
    <x v="0"/>
    <x v="3"/>
    <x v="0"/>
    <s v="F"/>
    <n v="900"/>
    <n v="19"/>
    <n v="14.67"/>
  </r>
  <r>
    <n v="26"/>
    <s v="Medina Molina"/>
    <s v="Noemi Mariela"/>
    <x v="0"/>
    <x v="3"/>
    <x v="1"/>
    <s v="F"/>
    <n v="850"/>
    <n v="20"/>
    <n v="13.3"/>
  </r>
  <r>
    <n v="27"/>
    <s v="Niquen Salinas"/>
    <s v="Mario Alexis"/>
    <x v="2"/>
    <x v="3"/>
    <x v="3"/>
    <s v="M"/>
    <n v="600"/>
    <n v="21"/>
    <n v="14.67"/>
  </r>
  <r>
    <n v="28"/>
    <s v="Prieto Marcos"/>
    <s v="Luis Angel"/>
    <x v="2"/>
    <x v="3"/>
    <x v="3"/>
    <s v="M"/>
    <n v="570"/>
    <n v="18"/>
    <n v="10"/>
  </r>
  <r>
    <n v="29"/>
    <s v="Quintanilla Quintanilla"/>
    <s v="Aurora Zoila"/>
    <x v="2"/>
    <x v="2"/>
    <x v="0"/>
    <s v="F"/>
    <n v="600"/>
    <n v="24"/>
    <n v="9.25"/>
  </r>
  <r>
    <n v="30"/>
    <s v="Quintana suarez"/>
    <s v="Robinson Martín"/>
    <x v="4"/>
    <x v="2"/>
    <x v="1"/>
    <s v="M"/>
    <n v="980"/>
    <n v="18"/>
    <n v="8.33"/>
  </r>
  <r>
    <n v="31"/>
    <s v="Reyes Quispe"/>
    <s v="Liliana Matilde"/>
    <x v="2"/>
    <x v="2"/>
    <x v="1"/>
    <s v="F"/>
    <n v="600"/>
    <n v="23"/>
    <n v="13.64"/>
  </r>
  <r>
    <n v="32"/>
    <s v="Riofrio Suyon"/>
    <s v="Jorge Jhon"/>
    <x v="0"/>
    <x v="2"/>
    <x v="4"/>
    <s v="M"/>
    <n v="940"/>
    <n v="29"/>
    <n v="13.67"/>
  </r>
  <r>
    <n v="33"/>
    <s v="Rivera Osorio"/>
    <s v="Edith"/>
    <x v="4"/>
    <x v="2"/>
    <x v="4"/>
    <s v="F"/>
    <n v="800"/>
    <n v="27"/>
    <n v="14.33"/>
  </r>
  <r>
    <n v="34"/>
    <s v="Rodriguez Chavez"/>
    <s v="Gustavo Ricardo"/>
    <x v="4"/>
    <x v="2"/>
    <x v="4"/>
    <s v="M"/>
    <n v="800"/>
    <n v="18"/>
    <n v="16.899999999999999"/>
  </r>
  <r>
    <n v="35"/>
    <s v="Rodriguez Garcia"/>
    <s v="Jhoni Glicerio"/>
    <x v="0"/>
    <x v="4"/>
    <x v="0"/>
    <s v="M"/>
    <n v="740"/>
    <n v="19"/>
    <n v="14.8"/>
  </r>
  <r>
    <n v="36"/>
    <s v="Sanchez Alvarado"/>
    <s v="Richard Chirstian"/>
    <x v="0"/>
    <x v="4"/>
    <x v="0"/>
    <s v="M"/>
    <n v="800"/>
    <n v="20"/>
    <n v="12"/>
  </r>
  <r>
    <n v="37"/>
    <s v="Sulca Montenegro"/>
    <s v="Nmaria Esperanza"/>
    <x v="2"/>
    <x v="4"/>
    <x v="4"/>
    <s v="F"/>
    <n v="700"/>
    <n v="26"/>
    <n v="8"/>
  </r>
  <r>
    <n v="38"/>
    <s v="Mendoza Quiroz"/>
    <s v="Liuis Miguel"/>
    <x v="1"/>
    <x v="4"/>
    <x v="3"/>
    <s v="M"/>
    <n v="1200"/>
    <n v="21"/>
    <n v="10.3"/>
  </r>
  <r>
    <n v="39"/>
    <s v="Salazar Rios"/>
    <s v="Karla Rosa"/>
    <x v="2"/>
    <x v="4"/>
    <x v="3"/>
    <s v="F"/>
    <n v="1080"/>
    <n v="19"/>
    <n v="14.75"/>
  </r>
  <r>
    <n v="40"/>
    <s v="Grados Cabrera"/>
    <s v="Victoria"/>
    <x v="2"/>
    <x v="4"/>
    <x v="1"/>
    <s v="F"/>
    <n v="1200"/>
    <n v="22"/>
    <n v="18"/>
  </r>
  <r>
    <n v="41"/>
    <s v="Cataño Romero"/>
    <s v="Antonio"/>
    <x v="2"/>
    <x v="2"/>
    <x v="0"/>
    <s v="M"/>
    <n v="1200"/>
    <n v="23"/>
    <n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72F496-59A7-45CA-9F5C-85D198D4A9B4}" name="TablaDinámica1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>
  <location ref="L41:M47" firstHeaderRow="1" firstDataRow="1" firstDataCol="1"/>
  <pivotFields count="10">
    <pivotField showAll="0"/>
    <pivotField showAll="0"/>
    <pivotField showAll="0"/>
    <pivotField showAll="0"/>
    <pivotField showAll="0"/>
    <pivotField axis="axisRow" showAll="0">
      <items count="6">
        <item x="2"/>
        <item x="4"/>
        <item x="1"/>
        <item x="0"/>
        <item x="3"/>
        <item t="default"/>
      </items>
    </pivotField>
    <pivotField showAll="0"/>
    <pivotField numFmtId="4" showAll="0"/>
    <pivotField showAll="0"/>
    <pivotField dataField="1" numFmtId="4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Promedio de Promedio" fld="9" subtotal="average" baseField="5" baseItem="0" numFmtId="2"/>
  </dataFields>
  <formats count="7">
    <format dxfId="49">
      <pivotArea outline="0" collapsedLevelsAreSubtotals="1" fieldPosition="0"/>
    </format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5" type="button" dataOnly="0" labelOnly="1" outline="0" axis="axisRow" fieldPosition="0"/>
    </format>
    <format dxfId="17">
      <pivotArea dataOnly="0" labelOnly="1" fieldPosition="0">
        <references count="1">
          <reference field="5" count="0"/>
        </references>
      </pivotArea>
    </format>
    <format dxfId="16">
      <pivotArea dataOnly="0" labelOnly="1" grandRow="1" outline="0" fieldPosition="0"/>
    </format>
    <format dxfId="15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2793DE-3AA9-440C-8124-7895615A9FC6}" name="TablaDinámica3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L3:R10" firstHeaderRow="1" firstDataRow="2" firstDataCol="1"/>
  <pivotFields count="10">
    <pivotField showAll="0"/>
    <pivotField showAll="0"/>
    <pivotField showAll="0"/>
    <pivotField axis="axisCol" showAll="0">
      <items count="6">
        <item x="1"/>
        <item x="3"/>
        <item x="0"/>
        <item x="2"/>
        <item x="4"/>
        <item t="default"/>
      </items>
    </pivotField>
    <pivotField showAll="0"/>
    <pivotField axis="axisRow" showAll="0">
      <items count="6">
        <item x="2"/>
        <item x="4"/>
        <item x="1"/>
        <item x="0"/>
        <item x="3"/>
        <item t="default"/>
      </items>
    </pivotField>
    <pivotField showAll="0"/>
    <pivotField dataField="1" numFmtId="4" showAll="0"/>
    <pivotField showAll="0"/>
    <pivotField numFmtId="4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a de Aporte" fld="7" baseField="0" baseItem="0" numFmtId="164"/>
  </dataFields>
  <formats count="11">
    <format dxfId="60">
      <pivotArea type="all" dataOnly="0" outline="0" fieldPosition="0"/>
    </format>
    <format dxfId="59">
      <pivotArea outline="0" collapsedLevelsAreSubtotals="1" fieldPosition="0"/>
    </format>
    <format dxfId="58">
      <pivotArea type="origin" dataOnly="0" labelOnly="1" outline="0" fieldPosition="0"/>
    </format>
    <format dxfId="57">
      <pivotArea field="3" type="button" dataOnly="0" labelOnly="1" outline="0" axis="axisCol" fieldPosition="0"/>
    </format>
    <format dxfId="56">
      <pivotArea type="topRight" dataOnly="0" labelOnly="1" outline="0" fieldPosition="0"/>
    </format>
    <format dxfId="55">
      <pivotArea field="5" type="button" dataOnly="0" labelOnly="1" outline="0" axis="axisRow" fieldPosition="0"/>
    </format>
    <format dxfId="54">
      <pivotArea dataOnly="0" labelOnly="1" fieldPosition="0">
        <references count="1">
          <reference field="5" count="0"/>
        </references>
      </pivotArea>
    </format>
    <format dxfId="53">
      <pivotArea dataOnly="0" labelOnly="1" grandRow="1" outline="0" fieldPosition="0"/>
    </format>
    <format dxfId="52">
      <pivotArea dataOnly="0" labelOnly="1" fieldPosition="0">
        <references count="1">
          <reference field="3" count="0"/>
        </references>
      </pivotArea>
    </format>
    <format dxfId="51">
      <pivotArea dataOnly="0" labelOnly="1" grandCol="1" outline="0" fieldPosition="0"/>
    </format>
    <format dxfId="5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1E7506-C893-469D-B073-CA2EE372C5C5}" name="TablaDinámica4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L13:R38" firstHeaderRow="1" firstDataRow="2" firstDataCol="1"/>
  <pivotFields count="10">
    <pivotField dataField="1" showAll="0"/>
    <pivotField showAll="0"/>
    <pivotField showAll="0"/>
    <pivotField axis="axisRow" showAll="0">
      <items count="6">
        <item x="1"/>
        <item x="3"/>
        <item x="0"/>
        <item x="2"/>
        <item x="4"/>
        <item t="default"/>
      </items>
    </pivotField>
    <pivotField axis="axisCol" showAll="0">
      <items count="6">
        <item x="0"/>
        <item x="3"/>
        <item x="2"/>
        <item x="4"/>
        <item x="1"/>
        <item t="default"/>
      </items>
    </pivotField>
    <pivotField axis="axisRow" showAll="0">
      <items count="6">
        <item x="2"/>
        <item x="4"/>
        <item x="1"/>
        <item x="0"/>
        <item x="3"/>
        <item t="default"/>
      </items>
    </pivotField>
    <pivotField showAll="0"/>
    <pivotField numFmtId="4" showAll="0"/>
    <pivotField showAll="0"/>
    <pivotField numFmtId="4" showAll="0"/>
  </pivotFields>
  <rowFields count="2">
    <field x="3"/>
    <field x="5"/>
  </rowFields>
  <rowItems count="24">
    <i>
      <x/>
    </i>
    <i r="1">
      <x/>
    </i>
    <i r="1">
      <x v="2"/>
    </i>
    <i r="1">
      <x v="3"/>
    </i>
    <i r="1">
      <x v="4"/>
    </i>
    <i>
      <x v="1"/>
    </i>
    <i r="1">
      <x v="1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 v="1"/>
    </i>
    <i r="1">
      <x v="2"/>
    </i>
    <i r="1">
      <x v="3"/>
    </i>
    <i r="1">
      <x v="4"/>
    </i>
    <i>
      <x v="4"/>
    </i>
    <i r="1">
      <x v="1"/>
    </i>
    <i r="1">
      <x v="2"/>
    </i>
    <i r="1">
      <x v="3"/>
    </i>
    <i r="1">
      <x v="4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uenta de Codigo" fld="0" subtotal="count" baseField="3" baseItem="0"/>
  </dataFields>
  <formats count="15">
    <format dxfId="75">
      <pivotArea type="all" dataOnly="0" outline="0" fieldPosition="0"/>
    </format>
    <format dxfId="74">
      <pivotArea outline="0" collapsedLevelsAreSubtotals="1" fieldPosition="0"/>
    </format>
    <format dxfId="73">
      <pivotArea type="origin" dataOnly="0" labelOnly="1" outline="0" fieldPosition="0"/>
    </format>
    <format dxfId="72">
      <pivotArea field="4" type="button" dataOnly="0" labelOnly="1" outline="0" axis="axisCol" fieldPosition="0"/>
    </format>
    <format dxfId="71">
      <pivotArea type="topRight" dataOnly="0" labelOnly="1" outline="0" fieldPosition="0"/>
    </format>
    <format dxfId="70">
      <pivotArea field="3" type="button" dataOnly="0" labelOnly="1" outline="0" axis="axisRow" fieldPosition="0"/>
    </format>
    <format dxfId="69">
      <pivotArea dataOnly="0" labelOnly="1" fieldPosition="0">
        <references count="1">
          <reference field="3" count="0"/>
        </references>
      </pivotArea>
    </format>
    <format dxfId="68">
      <pivotArea dataOnly="0" labelOnly="1" grandRow="1" outline="0" fieldPosition="0"/>
    </format>
    <format dxfId="67">
      <pivotArea dataOnly="0" labelOnly="1" fieldPosition="0">
        <references count="2">
          <reference field="3" count="1" selected="0">
            <x v="0"/>
          </reference>
          <reference field="5" count="4">
            <x v="0"/>
            <x v="2"/>
            <x v="3"/>
            <x v="4"/>
          </reference>
        </references>
      </pivotArea>
    </format>
    <format dxfId="66">
      <pivotArea dataOnly="0" labelOnly="1" fieldPosition="0">
        <references count="2">
          <reference field="3" count="1" selected="0">
            <x v="1"/>
          </reference>
          <reference field="5" count="1">
            <x v="1"/>
          </reference>
        </references>
      </pivotArea>
    </format>
    <format dxfId="65">
      <pivotArea dataOnly="0" labelOnly="1" fieldPosition="0">
        <references count="2">
          <reference field="3" count="1" selected="0">
            <x v="2"/>
          </reference>
          <reference field="5" count="0"/>
        </references>
      </pivotArea>
    </format>
    <format dxfId="64">
      <pivotArea dataOnly="0" labelOnly="1" fieldPosition="0">
        <references count="2">
          <reference field="3" count="1" selected="0">
            <x v="3"/>
          </reference>
          <reference field="5" count="4">
            <x v="1"/>
            <x v="2"/>
            <x v="3"/>
            <x v="4"/>
          </reference>
        </references>
      </pivotArea>
    </format>
    <format dxfId="63">
      <pivotArea dataOnly="0" labelOnly="1" fieldPosition="0">
        <references count="2">
          <reference field="3" count="1" selected="0">
            <x v="4"/>
          </reference>
          <reference field="5" count="4">
            <x v="1"/>
            <x v="2"/>
            <x v="3"/>
            <x v="4"/>
          </reference>
        </references>
      </pivotArea>
    </format>
    <format dxfId="62">
      <pivotArea dataOnly="0" labelOnly="1" fieldPosition="0">
        <references count="1">
          <reference field="4" count="0"/>
        </references>
      </pivotArea>
    </format>
    <format dxfId="61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21035-388C-48BE-BFA9-FD8E835F0E2B}">
  <dimension ref="A2:R47"/>
  <sheetViews>
    <sheetView tabSelected="1" topLeftCell="C25" workbookViewId="0">
      <selection activeCell="L49" sqref="L49"/>
    </sheetView>
  </sheetViews>
  <sheetFormatPr baseColWidth="10" defaultRowHeight="15" x14ac:dyDescent="0.25"/>
  <cols>
    <col min="12" max="12" width="17.5703125" bestFit="1" customWidth="1"/>
    <col min="13" max="14" width="21.85546875" bestFit="1" customWidth="1"/>
    <col min="15" max="15" width="13.140625" customWidth="1"/>
    <col min="16" max="16" width="12.85546875" bestFit="1" customWidth="1"/>
    <col min="17" max="17" width="16.28515625" customWidth="1"/>
    <col min="18" max="19" width="14" customWidth="1"/>
  </cols>
  <sheetData>
    <row r="2" spans="1:1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L2" t="s">
        <v>107</v>
      </c>
    </row>
    <row r="3" spans="1:18" x14ac:dyDescent="0.25">
      <c r="A3" s="2">
        <v>1</v>
      </c>
      <c r="B3" s="3" t="s">
        <v>10</v>
      </c>
      <c r="C3" s="3" t="s">
        <v>11</v>
      </c>
      <c r="D3" s="3" t="s">
        <v>12</v>
      </c>
      <c r="E3" s="2" t="s">
        <v>13</v>
      </c>
      <c r="F3" s="3" t="s">
        <v>14</v>
      </c>
      <c r="G3" s="2" t="s">
        <v>15</v>
      </c>
      <c r="H3" s="4">
        <v>500</v>
      </c>
      <c r="I3" s="2">
        <v>21</v>
      </c>
      <c r="J3" s="5">
        <v>13.67</v>
      </c>
      <c r="L3" s="8" t="s">
        <v>111</v>
      </c>
      <c r="M3" s="8" t="s">
        <v>110</v>
      </c>
      <c r="N3" s="7"/>
      <c r="O3" s="7"/>
      <c r="P3" s="7"/>
      <c r="Q3" s="7"/>
      <c r="R3" s="7"/>
    </row>
    <row r="4" spans="1:18" x14ac:dyDescent="0.25">
      <c r="A4" s="2">
        <v>2</v>
      </c>
      <c r="B4" s="3" t="s">
        <v>16</v>
      </c>
      <c r="C4" s="3" t="s">
        <v>17</v>
      </c>
      <c r="D4" s="3" t="s">
        <v>18</v>
      </c>
      <c r="E4" s="2" t="s">
        <v>13</v>
      </c>
      <c r="F4" s="3" t="s">
        <v>19</v>
      </c>
      <c r="G4" s="2" t="s">
        <v>15</v>
      </c>
      <c r="H4" s="4">
        <v>380</v>
      </c>
      <c r="I4" s="2">
        <v>18</v>
      </c>
      <c r="J4" s="5">
        <v>14.5</v>
      </c>
      <c r="L4" s="8" t="s">
        <v>108</v>
      </c>
      <c r="M4" s="7" t="s">
        <v>18</v>
      </c>
      <c r="N4" s="7" t="s">
        <v>55</v>
      </c>
      <c r="O4" s="7" t="s">
        <v>12</v>
      </c>
      <c r="P4" s="7" t="s">
        <v>37</v>
      </c>
      <c r="Q4" s="7" t="s">
        <v>59</v>
      </c>
      <c r="R4" s="7" t="s">
        <v>109</v>
      </c>
    </row>
    <row r="5" spans="1:18" x14ac:dyDescent="0.25">
      <c r="A5" s="2">
        <v>3</v>
      </c>
      <c r="B5" s="3" t="s">
        <v>20</v>
      </c>
      <c r="C5" s="3" t="s">
        <v>21</v>
      </c>
      <c r="D5" s="3" t="s">
        <v>18</v>
      </c>
      <c r="E5" s="2" t="s">
        <v>13</v>
      </c>
      <c r="F5" s="3" t="s">
        <v>14</v>
      </c>
      <c r="G5" s="2" t="s">
        <v>22</v>
      </c>
      <c r="H5" s="4">
        <v>500</v>
      </c>
      <c r="I5" s="2">
        <v>22</v>
      </c>
      <c r="J5" s="5">
        <v>11</v>
      </c>
      <c r="L5" s="9" t="s">
        <v>26</v>
      </c>
      <c r="M5" s="13">
        <v>650</v>
      </c>
      <c r="N5" s="13"/>
      <c r="O5" s="13">
        <v>540</v>
      </c>
      <c r="P5" s="13"/>
      <c r="Q5" s="13"/>
      <c r="R5" s="13">
        <v>1190</v>
      </c>
    </row>
    <row r="6" spans="1:18" x14ac:dyDescent="0.25">
      <c r="A6" s="2">
        <v>4</v>
      </c>
      <c r="B6" s="3" t="s">
        <v>23</v>
      </c>
      <c r="C6" s="3" t="s">
        <v>24</v>
      </c>
      <c r="D6" s="3" t="s">
        <v>12</v>
      </c>
      <c r="E6" s="2" t="s">
        <v>25</v>
      </c>
      <c r="F6" s="6" t="s">
        <v>26</v>
      </c>
      <c r="G6" s="2" t="s">
        <v>15</v>
      </c>
      <c r="H6" s="4">
        <v>540</v>
      </c>
      <c r="I6" s="2">
        <v>23</v>
      </c>
      <c r="J6" s="5">
        <v>13.4</v>
      </c>
      <c r="L6" s="9" t="s">
        <v>32</v>
      </c>
      <c r="M6" s="13"/>
      <c r="N6" s="13">
        <v>940</v>
      </c>
      <c r="O6" s="13">
        <v>3840</v>
      </c>
      <c r="P6" s="13">
        <v>1560</v>
      </c>
      <c r="Q6" s="13">
        <v>3400</v>
      </c>
      <c r="R6" s="13">
        <v>9740</v>
      </c>
    </row>
    <row r="7" spans="1:18" x14ac:dyDescent="0.25">
      <c r="A7" s="2">
        <v>5</v>
      </c>
      <c r="B7" s="3" t="s">
        <v>27</v>
      </c>
      <c r="C7" s="3" t="s">
        <v>28</v>
      </c>
      <c r="D7" s="3" t="s">
        <v>12</v>
      </c>
      <c r="E7" s="2" t="s">
        <v>25</v>
      </c>
      <c r="F7" s="3" t="s">
        <v>29</v>
      </c>
      <c r="G7" s="2" t="s">
        <v>22</v>
      </c>
      <c r="H7" s="4">
        <v>500</v>
      </c>
      <c r="I7" s="2">
        <v>24</v>
      </c>
      <c r="J7" s="5">
        <v>16.5</v>
      </c>
      <c r="L7" s="9" t="s">
        <v>19</v>
      </c>
      <c r="M7" s="13">
        <v>380</v>
      </c>
      <c r="N7" s="13"/>
      <c r="O7" s="13">
        <v>1500</v>
      </c>
      <c r="P7" s="13">
        <v>1800</v>
      </c>
      <c r="Q7" s="13">
        <v>980</v>
      </c>
      <c r="R7" s="13">
        <v>4660</v>
      </c>
    </row>
    <row r="8" spans="1:18" x14ac:dyDescent="0.25">
      <c r="A8" s="2">
        <v>6</v>
      </c>
      <c r="B8" s="3" t="s">
        <v>30</v>
      </c>
      <c r="C8" s="3" t="s">
        <v>31</v>
      </c>
      <c r="D8" s="3" t="s">
        <v>12</v>
      </c>
      <c r="E8" s="2" t="s">
        <v>25</v>
      </c>
      <c r="F8" s="3" t="s">
        <v>32</v>
      </c>
      <c r="G8" s="2" t="s">
        <v>15</v>
      </c>
      <c r="H8" s="4">
        <v>650</v>
      </c>
      <c r="I8" s="2">
        <v>18</v>
      </c>
      <c r="J8" s="5">
        <v>13</v>
      </c>
      <c r="L8" s="9" t="s">
        <v>14</v>
      </c>
      <c r="M8" s="13">
        <v>2150</v>
      </c>
      <c r="N8" s="13"/>
      <c r="O8" s="13">
        <v>2940</v>
      </c>
      <c r="P8" s="13">
        <v>2500</v>
      </c>
      <c r="Q8" s="13">
        <v>1000</v>
      </c>
      <c r="R8" s="13">
        <v>8590</v>
      </c>
    </row>
    <row r="9" spans="1:18" x14ac:dyDescent="0.25">
      <c r="A9" s="2">
        <v>7</v>
      </c>
      <c r="B9" s="3" t="s">
        <v>33</v>
      </c>
      <c r="C9" s="3" t="s">
        <v>34</v>
      </c>
      <c r="D9" s="3" t="s">
        <v>18</v>
      </c>
      <c r="E9" s="2" t="s">
        <v>25</v>
      </c>
      <c r="F9" s="3" t="s">
        <v>14</v>
      </c>
      <c r="G9" s="2" t="s">
        <v>15</v>
      </c>
      <c r="H9" s="4">
        <v>650</v>
      </c>
      <c r="I9" s="2">
        <v>19</v>
      </c>
      <c r="J9" s="5">
        <v>15</v>
      </c>
      <c r="L9" s="9" t="s">
        <v>29</v>
      </c>
      <c r="M9" s="13">
        <v>1200</v>
      </c>
      <c r="N9" s="13"/>
      <c r="O9" s="13">
        <v>1838</v>
      </c>
      <c r="P9" s="13">
        <v>3250</v>
      </c>
      <c r="Q9" s="13">
        <v>380</v>
      </c>
      <c r="R9" s="13">
        <v>6668</v>
      </c>
    </row>
    <row r="10" spans="1:18" x14ac:dyDescent="0.25">
      <c r="A10" s="2">
        <v>8</v>
      </c>
      <c r="B10" s="3" t="s">
        <v>35</v>
      </c>
      <c r="C10" s="3" t="s">
        <v>36</v>
      </c>
      <c r="D10" s="3" t="s">
        <v>37</v>
      </c>
      <c r="E10" s="2" t="s">
        <v>13</v>
      </c>
      <c r="F10" s="3" t="s">
        <v>32</v>
      </c>
      <c r="G10" s="2" t="s">
        <v>22</v>
      </c>
      <c r="H10" s="4">
        <v>860</v>
      </c>
      <c r="I10" s="2">
        <v>22</v>
      </c>
      <c r="J10" s="5">
        <v>17</v>
      </c>
      <c r="L10" s="9" t="s">
        <v>109</v>
      </c>
      <c r="M10" s="13">
        <v>4380</v>
      </c>
      <c r="N10" s="13">
        <v>940</v>
      </c>
      <c r="O10" s="13">
        <v>10658</v>
      </c>
      <c r="P10" s="13">
        <v>9110</v>
      </c>
      <c r="Q10" s="13">
        <v>5760</v>
      </c>
      <c r="R10" s="13">
        <v>30848</v>
      </c>
    </row>
    <row r="11" spans="1:18" x14ac:dyDescent="0.25">
      <c r="A11" s="2">
        <v>9</v>
      </c>
      <c r="B11" s="3" t="s">
        <v>38</v>
      </c>
      <c r="C11" s="3" t="s">
        <v>39</v>
      </c>
      <c r="D11" s="3" t="s">
        <v>18</v>
      </c>
      <c r="E11" s="2" t="s">
        <v>25</v>
      </c>
      <c r="F11" s="6" t="s">
        <v>26</v>
      </c>
      <c r="G11" s="2" t="s">
        <v>15</v>
      </c>
      <c r="H11" s="4">
        <v>650</v>
      </c>
      <c r="I11" s="2">
        <v>26</v>
      </c>
      <c r="J11" s="5">
        <v>19</v>
      </c>
    </row>
    <row r="12" spans="1:18" x14ac:dyDescent="0.25">
      <c r="A12" s="2">
        <v>10</v>
      </c>
      <c r="B12" s="3" t="s">
        <v>40</v>
      </c>
      <c r="C12" s="3" t="s">
        <v>41</v>
      </c>
      <c r="D12" s="3" t="s">
        <v>12</v>
      </c>
      <c r="E12" s="2" t="s">
        <v>25</v>
      </c>
      <c r="F12" s="3" t="s">
        <v>29</v>
      </c>
      <c r="G12" s="2" t="s">
        <v>22</v>
      </c>
      <c r="H12" s="4">
        <v>98</v>
      </c>
      <c r="I12" s="2">
        <v>24</v>
      </c>
      <c r="J12" s="5">
        <v>14</v>
      </c>
      <c r="L12" s="12" t="s">
        <v>113</v>
      </c>
    </row>
    <row r="13" spans="1:18" x14ac:dyDescent="0.25">
      <c r="A13" s="2">
        <v>11</v>
      </c>
      <c r="B13" s="3" t="s">
        <v>42</v>
      </c>
      <c r="C13" s="3" t="s">
        <v>43</v>
      </c>
      <c r="D13" s="3" t="s">
        <v>37</v>
      </c>
      <c r="E13" s="2" t="s">
        <v>25</v>
      </c>
      <c r="F13" s="3" t="s">
        <v>14</v>
      </c>
      <c r="G13" s="2" t="s">
        <v>15</v>
      </c>
      <c r="H13" s="4">
        <v>700</v>
      </c>
      <c r="I13" s="2">
        <v>28</v>
      </c>
      <c r="J13" s="5">
        <v>15</v>
      </c>
      <c r="L13" s="8" t="s">
        <v>112</v>
      </c>
      <c r="M13" s="8" t="s">
        <v>110</v>
      </c>
      <c r="N13" s="7"/>
      <c r="O13" s="7"/>
      <c r="P13" s="7"/>
      <c r="Q13" s="7"/>
      <c r="R13" s="7"/>
    </row>
    <row r="14" spans="1:18" x14ac:dyDescent="0.25">
      <c r="A14" s="2">
        <v>12</v>
      </c>
      <c r="B14" s="3" t="s">
        <v>44</v>
      </c>
      <c r="C14" s="3" t="s">
        <v>45</v>
      </c>
      <c r="D14" s="3" t="s">
        <v>12</v>
      </c>
      <c r="E14" s="2" t="s">
        <v>46</v>
      </c>
      <c r="F14" s="3" t="s">
        <v>19</v>
      </c>
      <c r="G14" s="2" t="s">
        <v>22</v>
      </c>
      <c r="H14" s="4">
        <v>650</v>
      </c>
      <c r="I14" s="2">
        <v>25</v>
      </c>
      <c r="J14" s="5">
        <v>11</v>
      </c>
      <c r="L14" s="8" t="s">
        <v>108</v>
      </c>
      <c r="M14" s="7" t="s">
        <v>13</v>
      </c>
      <c r="N14" s="7" t="s">
        <v>56</v>
      </c>
      <c r="O14" s="7" t="s">
        <v>46</v>
      </c>
      <c r="P14" s="7" t="s">
        <v>95</v>
      </c>
      <c r="Q14" s="7" t="s">
        <v>25</v>
      </c>
      <c r="R14" s="7" t="s">
        <v>109</v>
      </c>
    </row>
    <row r="15" spans="1:18" x14ac:dyDescent="0.25">
      <c r="A15" s="2">
        <v>13</v>
      </c>
      <c r="B15" s="3" t="s">
        <v>47</v>
      </c>
      <c r="C15" s="3" t="s">
        <v>48</v>
      </c>
      <c r="D15" s="3" t="s">
        <v>12</v>
      </c>
      <c r="E15" s="2" t="s">
        <v>46</v>
      </c>
      <c r="F15" s="3" t="s">
        <v>32</v>
      </c>
      <c r="G15" s="2" t="s">
        <v>15</v>
      </c>
      <c r="H15" s="4">
        <v>780</v>
      </c>
      <c r="I15" s="2">
        <v>22</v>
      </c>
      <c r="J15" s="5">
        <v>13</v>
      </c>
      <c r="L15" s="9" t="s">
        <v>18</v>
      </c>
      <c r="M15" s="10">
        <v>3</v>
      </c>
      <c r="N15" s="10"/>
      <c r="O15" s="10"/>
      <c r="P15" s="10">
        <v>1</v>
      </c>
      <c r="Q15" s="10">
        <v>2</v>
      </c>
      <c r="R15" s="10">
        <v>6</v>
      </c>
    </row>
    <row r="16" spans="1:18" x14ac:dyDescent="0.25">
      <c r="A16" s="2">
        <v>14</v>
      </c>
      <c r="B16" s="3" t="s">
        <v>49</v>
      </c>
      <c r="C16" s="3" t="s">
        <v>50</v>
      </c>
      <c r="D16" s="3" t="s">
        <v>12</v>
      </c>
      <c r="E16" s="2" t="s">
        <v>13</v>
      </c>
      <c r="F16" s="3" t="s">
        <v>29</v>
      </c>
      <c r="G16" s="2" t="s">
        <v>15</v>
      </c>
      <c r="H16" s="4">
        <v>540</v>
      </c>
      <c r="I16" s="2">
        <v>17</v>
      </c>
      <c r="J16" s="5">
        <v>12.7</v>
      </c>
      <c r="L16" s="11" t="s">
        <v>26</v>
      </c>
      <c r="M16" s="10"/>
      <c r="N16" s="10"/>
      <c r="O16" s="10"/>
      <c r="P16" s="10"/>
      <c r="Q16" s="10">
        <v>1</v>
      </c>
      <c r="R16" s="10">
        <v>1</v>
      </c>
    </row>
    <row r="17" spans="1:18" x14ac:dyDescent="0.25">
      <c r="A17" s="2">
        <v>15</v>
      </c>
      <c r="B17" s="3" t="s">
        <v>51</v>
      </c>
      <c r="C17" s="3" t="s">
        <v>52</v>
      </c>
      <c r="D17" s="3" t="s">
        <v>12</v>
      </c>
      <c r="E17" s="2" t="s">
        <v>13</v>
      </c>
      <c r="F17" s="3" t="s">
        <v>29</v>
      </c>
      <c r="G17" s="2" t="s">
        <v>22</v>
      </c>
      <c r="H17" s="4">
        <v>700</v>
      </c>
      <c r="I17" s="2">
        <v>28</v>
      </c>
      <c r="J17" s="5">
        <v>13.3</v>
      </c>
      <c r="L17" s="11" t="s">
        <v>19</v>
      </c>
      <c r="M17" s="10">
        <v>1</v>
      </c>
      <c r="N17" s="10"/>
      <c r="O17" s="10"/>
      <c r="P17" s="10"/>
      <c r="Q17" s="10"/>
      <c r="R17" s="10">
        <v>1</v>
      </c>
    </row>
    <row r="18" spans="1:18" x14ac:dyDescent="0.25">
      <c r="A18" s="2">
        <v>16</v>
      </c>
      <c r="B18" s="3" t="s">
        <v>53</v>
      </c>
      <c r="C18" s="3" t="s">
        <v>54</v>
      </c>
      <c r="D18" s="3" t="s">
        <v>55</v>
      </c>
      <c r="E18" s="2" t="s">
        <v>56</v>
      </c>
      <c r="F18" s="3" t="s">
        <v>32</v>
      </c>
      <c r="G18" s="2" t="s">
        <v>22</v>
      </c>
      <c r="H18" s="4">
        <v>940</v>
      </c>
      <c r="I18" s="2">
        <v>18</v>
      </c>
      <c r="J18" s="5">
        <v>18.8</v>
      </c>
      <c r="L18" s="11" t="s">
        <v>14</v>
      </c>
      <c r="M18" s="10">
        <v>2</v>
      </c>
      <c r="N18" s="10"/>
      <c r="O18" s="10"/>
      <c r="P18" s="10"/>
      <c r="Q18" s="10">
        <v>1</v>
      </c>
      <c r="R18" s="10">
        <v>3</v>
      </c>
    </row>
    <row r="19" spans="1:18" x14ac:dyDescent="0.25">
      <c r="A19" s="2">
        <v>17</v>
      </c>
      <c r="B19" s="3" t="s">
        <v>57</v>
      </c>
      <c r="C19" s="3" t="s">
        <v>58</v>
      </c>
      <c r="D19" s="3" t="s">
        <v>59</v>
      </c>
      <c r="E19" s="2" t="s">
        <v>13</v>
      </c>
      <c r="F19" s="3" t="s">
        <v>14</v>
      </c>
      <c r="G19" s="2" t="s">
        <v>15</v>
      </c>
      <c r="H19" s="4">
        <v>1000</v>
      </c>
      <c r="I19" s="2">
        <v>16</v>
      </c>
      <c r="J19" s="5">
        <v>14.68</v>
      </c>
      <c r="L19" s="11" t="s">
        <v>29</v>
      </c>
      <c r="M19" s="10"/>
      <c r="N19" s="10"/>
      <c r="O19" s="10"/>
      <c r="P19" s="10">
        <v>1</v>
      </c>
      <c r="Q19" s="10"/>
      <c r="R19" s="10">
        <v>1</v>
      </c>
    </row>
    <row r="20" spans="1:18" x14ac:dyDescent="0.25">
      <c r="A20" s="2">
        <v>18</v>
      </c>
      <c r="B20" s="3" t="s">
        <v>60</v>
      </c>
      <c r="C20" s="3" t="s">
        <v>61</v>
      </c>
      <c r="D20" s="3" t="s">
        <v>18</v>
      </c>
      <c r="E20" s="2" t="s">
        <v>13</v>
      </c>
      <c r="F20" s="3" t="s">
        <v>14</v>
      </c>
      <c r="G20" s="2" t="s">
        <v>15</v>
      </c>
      <c r="H20" s="4">
        <v>1000</v>
      </c>
      <c r="I20" s="2">
        <v>20</v>
      </c>
      <c r="J20" s="5">
        <v>16.5</v>
      </c>
      <c r="L20" s="9" t="s">
        <v>55</v>
      </c>
      <c r="M20" s="10"/>
      <c r="N20" s="10">
        <v>1</v>
      </c>
      <c r="O20" s="10"/>
      <c r="P20" s="10"/>
      <c r="Q20" s="10"/>
      <c r="R20" s="10">
        <v>1</v>
      </c>
    </row>
    <row r="21" spans="1:18" x14ac:dyDescent="0.25">
      <c r="A21" s="2">
        <v>19</v>
      </c>
      <c r="B21" s="3" t="s">
        <v>62</v>
      </c>
      <c r="C21" s="3" t="s">
        <v>63</v>
      </c>
      <c r="D21" s="3" t="s">
        <v>59</v>
      </c>
      <c r="E21" s="2" t="s">
        <v>56</v>
      </c>
      <c r="F21" s="3" t="s">
        <v>29</v>
      </c>
      <c r="G21" s="2" t="s">
        <v>15</v>
      </c>
      <c r="H21" s="4">
        <v>380</v>
      </c>
      <c r="I21" s="2">
        <v>21</v>
      </c>
      <c r="J21" s="5">
        <v>17.47</v>
      </c>
      <c r="L21" s="11" t="s">
        <v>32</v>
      </c>
      <c r="M21" s="10"/>
      <c r="N21" s="10">
        <v>1</v>
      </c>
      <c r="O21" s="10"/>
      <c r="P21" s="10"/>
      <c r="Q21" s="10"/>
      <c r="R21" s="10">
        <v>1</v>
      </c>
    </row>
    <row r="22" spans="1:18" x14ac:dyDescent="0.25">
      <c r="A22" s="2">
        <v>20</v>
      </c>
      <c r="B22" s="3" t="s">
        <v>64</v>
      </c>
      <c r="C22" s="3" t="s">
        <v>65</v>
      </c>
      <c r="D22" s="3" t="s">
        <v>37</v>
      </c>
      <c r="E22" s="2" t="s">
        <v>56</v>
      </c>
      <c r="F22" s="3" t="s">
        <v>29</v>
      </c>
      <c r="G22" s="2" t="s">
        <v>15</v>
      </c>
      <c r="H22" s="4">
        <v>1000</v>
      </c>
      <c r="I22" s="2">
        <v>19</v>
      </c>
      <c r="J22" s="5">
        <v>16.670000000000002</v>
      </c>
      <c r="L22" s="9" t="s">
        <v>12</v>
      </c>
      <c r="M22" s="10">
        <v>3</v>
      </c>
      <c r="N22" s="10">
        <v>4</v>
      </c>
      <c r="O22" s="10">
        <v>3</v>
      </c>
      <c r="P22" s="10">
        <v>2</v>
      </c>
      <c r="Q22" s="10">
        <v>4</v>
      </c>
      <c r="R22" s="10">
        <v>16</v>
      </c>
    </row>
    <row r="23" spans="1:18" x14ac:dyDescent="0.25">
      <c r="A23" s="2">
        <v>21</v>
      </c>
      <c r="B23" s="3" t="s">
        <v>66</v>
      </c>
      <c r="C23" s="3" t="s">
        <v>67</v>
      </c>
      <c r="D23" s="3" t="s">
        <v>12</v>
      </c>
      <c r="E23" s="2" t="s">
        <v>56</v>
      </c>
      <c r="F23" s="3" t="s">
        <v>32</v>
      </c>
      <c r="G23" s="2" t="s">
        <v>15</v>
      </c>
      <c r="H23" s="4">
        <v>1000</v>
      </c>
      <c r="I23" s="2">
        <v>25</v>
      </c>
      <c r="J23" s="5">
        <v>13.93</v>
      </c>
      <c r="L23" s="11" t="s">
        <v>26</v>
      </c>
      <c r="M23" s="10"/>
      <c r="N23" s="10"/>
      <c r="O23" s="10"/>
      <c r="P23" s="10"/>
      <c r="Q23" s="10">
        <v>1</v>
      </c>
      <c r="R23" s="10">
        <v>1</v>
      </c>
    </row>
    <row r="24" spans="1:18" x14ac:dyDescent="0.25">
      <c r="A24" s="2">
        <v>22</v>
      </c>
      <c r="B24" s="3" t="s">
        <v>68</v>
      </c>
      <c r="C24" s="3" t="s">
        <v>69</v>
      </c>
      <c r="D24" s="3" t="s">
        <v>59</v>
      </c>
      <c r="E24" s="2" t="s">
        <v>56</v>
      </c>
      <c r="F24" s="3" t="s">
        <v>32</v>
      </c>
      <c r="G24" s="2" t="s">
        <v>22</v>
      </c>
      <c r="H24" s="4">
        <v>900</v>
      </c>
      <c r="I24" s="2">
        <v>17</v>
      </c>
      <c r="J24" s="5">
        <v>11.17</v>
      </c>
      <c r="L24" s="11" t="s">
        <v>32</v>
      </c>
      <c r="M24" s="10"/>
      <c r="N24" s="10">
        <v>2</v>
      </c>
      <c r="O24" s="10">
        <v>2</v>
      </c>
      <c r="P24" s="10"/>
      <c r="Q24" s="10">
        <v>1</v>
      </c>
      <c r="R24" s="10">
        <v>5</v>
      </c>
    </row>
    <row r="25" spans="1:18" x14ac:dyDescent="0.25">
      <c r="A25" s="2">
        <v>23</v>
      </c>
      <c r="B25" s="3" t="s">
        <v>70</v>
      </c>
      <c r="C25" s="3" t="s">
        <v>71</v>
      </c>
      <c r="D25" s="3" t="s">
        <v>59</v>
      </c>
      <c r="E25" s="2" t="s">
        <v>56</v>
      </c>
      <c r="F25" s="3" t="s">
        <v>32</v>
      </c>
      <c r="G25" s="2" t="s">
        <v>22</v>
      </c>
      <c r="H25" s="4">
        <v>900</v>
      </c>
      <c r="I25" s="2">
        <v>28</v>
      </c>
      <c r="J25" s="5">
        <v>13.33</v>
      </c>
      <c r="L25" s="11" t="s">
        <v>19</v>
      </c>
      <c r="M25" s="10"/>
      <c r="N25" s="10">
        <v>1</v>
      </c>
      <c r="O25" s="10">
        <v>1</v>
      </c>
      <c r="P25" s="10"/>
      <c r="Q25" s="10"/>
      <c r="R25" s="10">
        <v>2</v>
      </c>
    </row>
    <row r="26" spans="1:18" x14ac:dyDescent="0.25">
      <c r="A26" s="2">
        <v>24</v>
      </c>
      <c r="B26" s="3" t="s">
        <v>72</v>
      </c>
      <c r="C26" s="3" t="s">
        <v>73</v>
      </c>
      <c r="D26" s="3" t="s">
        <v>12</v>
      </c>
      <c r="E26" s="2" t="s">
        <v>56</v>
      </c>
      <c r="F26" s="3" t="s">
        <v>32</v>
      </c>
      <c r="G26" s="2" t="s">
        <v>15</v>
      </c>
      <c r="H26" s="4">
        <v>470</v>
      </c>
      <c r="I26" s="2">
        <v>26</v>
      </c>
      <c r="J26" s="5">
        <v>12.93</v>
      </c>
      <c r="L26" s="11" t="s">
        <v>14</v>
      </c>
      <c r="M26" s="10">
        <v>1</v>
      </c>
      <c r="N26" s="10">
        <v>1</v>
      </c>
      <c r="O26" s="10"/>
      <c r="P26" s="10">
        <v>2</v>
      </c>
      <c r="Q26" s="10"/>
      <c r="R26" s="10">
        <v>4</v>
      </c>
    </row>
    <row r="27" spans="1:18" x14ac:dyDescent="0.25">
      <c r="A27" s="2">
        <v>25</v>
      </c>
      <c r="B27" s="3" t="s">
        <v>74</v>
      </c>
      <c r="C27" s="3" t="s">
        <v>75</v>
      </c>
      <c r="D27" s="3" t="s">
        <v>12</v>
      </c>
      <c r="E27" s="2" t="s">
        <v>56</v>
      </c>
      <c r="F27" s="3" t="s">
        <v>14</v>
      </c>
      <c r="G27" s="2" t="s">
        <v>22</v>
      </c>
      <c r="H27" s="4">
        <v>900</v>
      </c>
      <c r="I27" s="2">
        <v>19</v>
      </c>
      <c r="J27" s="5">
        <v>14.67</v>
      </c>
      <c r="L27" s="11" t="s">
        <v>29</v>
      </c>
      <c r="M27" s="10">
        <v>2</v>
      </c>
      <c r="N27" s="10"/>
      <c r="O27" s="10"/>
      <c r="P27" s="10"/>
      <c r="Q27" s="10">
        <v>2</v>
      </c>
      <c r="R27" s="10">
        <v>4</v>
      </c>
    </row>
    <row r="28" spans="1:18" x14ac:dyDescent="0.25">
      <c r="A28" s="2">
        <v>26</v>
      </c>
      <c r="B28" s="3" t="s">
        <v>76</v>
      </c>
      <c r="C28" s="3" t="s">
        <v>77</v>
      </c>
      <c r="D28" s="3" t="s">
        <v>12</v>
      </c>
      <c r="E28" s="2" t="s">
        <v>56</v>
      </c>
      <c r="F28" s="3" t="s">
        <v>19</v>
      </c>
      <c r="G28" s="2" t="s">
        <v>22</v>
      </c>
      <c r="H28" s="4">
        <v>850</v>
      </c>
      <c r="I28" s="2">
        <v>20</v>
      </c>
      <c r="J28" s="5">
        <v>13.3</v>
      </c>
      <c r="L28" s="9" t="s">
        <v>37</v>
      </c>
      <c r="M28" s="10">
        <v>1</v>
      </c>
      <c r="N28" s="10">
        <v>3</v>
      </c>
      <c r="O28" s="10">
        <v>3</v>
      </c>
      <c r="P28" s="10">
        <v>3</v>
      </c>
      <c r="Q28" s="10">
        <v>1</v>
      </c>
      <c r="R28" s="10">
        <v>11</v>
      </c>
    </row>
    <row r="29" spans="1:18" x14ac:dyDescent="0.25">
      <c r="A29" s="2">
        <v>27</v>
      </c>
      <c r="B29" s="3" t="s">
        <v>78</v>
      </c>
      <c r="C29" s="3" t="s">
        <v>79</v>
      </c>
      <c r="D29" s="3" t="s">
        <v>37</v>
      </c>
      <c r="E29" s="2" t="s">
        <v>56</v>
      </c>
      <c r="F29" s="3" t="s">
        <v>29</v>
      </c>
      <c r="G29" s="2" t="s">
        <v>15</v>
      </c>
      <c r="H29" s="4">
        <v>600</v>
      </c>
      <c r="I29" s="2">
        <v>21</v>
      </c>
      <c r="J29" s="5">
        <v>14.67</v>
      </c>
      <c r="L29" s="11" t="s">
        <v>32</v>
      </c>
      <c r="M29" s="10">
        <v>1</v>
      </c>
      <c r="N29" s="10"/>
      <c r="O29" s="10"/>
      <c r="P29" s="10">
        <v>1</v>
      </c>
      <c r="Q29" s="10"/>
      <c r="R29" s="10">
        <v>2</v>
      </c>
    </row>
    <row r="30" spans="1:18" x14ac:dyDescent="0.25">
      <c r="A30" s="2">
        <v>28</v>
      </c>
      <c r="B30" s="3" t="s">
        <v>80</v>
      </c>
      <c r="C30" s="3" t="s">
        <v>73</v>
      </c>
      <c r="D30" s="3" t="s">
        <v>37</v>
      </c>
      <c r="E30" s="2" t="s">
        <v>56</v>
      </c>
      <c r="F30" s="3" t="s">
        <v>29</v>
      </c>
      <c r="G30" s="2" t="s">
        <v>15</v>
      </c>
      <c r="H30" s="4">
        <v>570</v>
      </c>
      <c r="I30" s="2">
        <v>18</v>
      </c>
      <c r="J30" s="5">
        <v>10</v>
      </c>
      <c r="L30" s="11" t="s">
        <v>19</v>
      </c>
      <c r="M30" s="10"/>
      <c r="N30" s="10"/>
      <c r="O30" s="10">
        <v>1</v>
      </c>
      <c r="P30" s="10">
        <v>1</v>
      </c>
      <c r="Q30" s="10"/>
      <c r="R30" s="10">
        <v>2</v>
      </c>
    </row>
    <row r="31" spans="1:18" x14ac:dyDescent="0.25">
      <c r="A31" s="2">
        <v>29</v>
      </c>
      <c r="B31" s="3" t="s">
        <v>81</v>
      </c>
      <c r="C31" s="3" t="s">
        <v>82</v>
      </c>
      <c r="D31" s="3" t="s">
        <v>37</v>
      </c>
      <c r="E31" s="2" t="s">
        <v>46</v>
      </c>
      <c r="F31" s="3" t="s">
        <v>14</v>
      </c>
      <c r="G31" s="2" t="s">
        <v>22</v>
      </c>
      <c r="H31" s="4">
        <v>600</v>
      </c>
      <c r="I31" s="2">
        <v>24</v>
      </c>
      <c r="J31" s="5">
        <v>9.25</v>
      </c>
      <c r="L31" s="11" t="s">
        <v>14</v>
      </c>
      <c r="M31" s="10"/>
      <c r="N31" s="10"/>
      <c r="O31" s="10">
        <v>2</v>
      </c>
      <c r="P31" s="10"/>
      <c r="Q31" s="10">
        <v>1</v>
      </c>
      <c r="R31" s="10">
        <v>3</v>
      </c>
    </row>
    <row r="32" spans="1:18" x14ac:dyDescent="0.25">
      <c r="A32" s="2">
        <v>30</v>
      </c>
      <c r="B32" s="3" t="s">
        <v>83</v>
      </c>
      <c r="C32" s="3" t="s">
        <v>84</v>
      </c>
      <c r="D32" s="3" t="s">
        <v>59</v>
      </c>
      <c r="E32" s="2" t="s">
        <v>46</v>
      </c>
      <c r="F32" s="3" t="s">
        <v>19</v>
      </c>
      <c r="G32" s="2" t="s">
        <v>15</v>
      </c>
      <c r="H32" s="4">
        <v>980</v>
      </c>
      <c r="I32" s="2">
        <v>18</v>
      </c>
      <c r="J32" s="5">
        <v>8.33</v>
      </c>
      <c r="L32" s="11" t="s">
        <v>29</v>
      </c>
      <c r="M32" s="10"/>
      <c r="N32" s="10">
        <v>3</v>
      </c>
      <c r="O32" s="10"/>
      <c r="P32" s="10">
        <v>1</v>
      </c>
      <c r="Q32" s="10"/>
      <c r="R32" s="10">
        <v>4</v>
      </c>
    </row>
    <row r="33" spans="1:18" x14ac:dyDescent="0.25">
      <c r="A33" s="2">
        <v>31</v>
      </c>
      <c r="B33" s="3" t="s">
        <v>85</v>
      </c>
      <c r="C33" s="3" t="s">
        <v>86</v>
      </c>
      <c r="D33" s="3" t="s">
        <v>37</v>
      </c>
      <c r="E33" s="2" t="s">
        <v>46</v>
      </c>
      <c r="F33" s="3" t="s">
        <v>19</v>
      </c>
      <c r="G33" s="2" t="s">
        <v>22</v>
      </c>
      <c r="H33" s="4">
        <v>600</v>
      </c>
      <c r="I33" s="2">
        <v>23</v>
      </c>
      <c r="J33" s="5">
        <v>13.64</v>
      </c>
      <c r="L33" s="9" t="s">
        <v>59</v>
      </c>
      <c r="M33" s="10">
        <v>1</v>
      </c>
      <c r="N33" s="10">
        <v>3</v>
      </c>
      <c r="O33" s="10">
        <v>3</v>
      </c>
      <c r="P33" s="10"/>
      <c r="Q33" s="10"/>
      <c r="R33" s="10">
        <v>7</v>
      </c>
    </row>
    <row r="34" spans="1:18" x14ac:dyDescent="0.25">
      <c r="A34" s="2">
        <v>32</v>
      </c>
      <c r="B34" s="3" t="s">
        <v>87</v>
      </c>
      <c r="C34" s="3" t="s">
        <v>88</v>
      </c>
      <c r="D34" s="3" t="s">
        <v>12</v>
      </c>
      <c r="E34" s="2" t="s">
        <v>46</v>
      </c>
      <c r="F34" s="3" t="s">
        <v>32</v>
      </c>
      <c r="G34" s="2" t="s">
        <v>15</v>
      </c>
      <c r="H34" s="4">
        <v>940</v>
      </c>
      <c r="I34" s="2">
        <v>29</v>
      </c>
      <c r="J34" s="5">
        <v>13.67</v>
      </c>
      <c r="L34" s="11" t="s">
        <v>32</v>
      </c>
      <c r="M34" s="10"/>
      <c r="N34" s="10">
        <v>2</v>
      </c>
      <c r="O34" s="10">
        <v>2</v>
      </c>
      <c r="P34" s="10"/>
      <c r="Q34" s="10"/>
      <c r="R34" s="10">
        <v>4</v>
      </c>
    </row>
    <row r="35" spans="1:18" x14ac:dyDescent="0.25">
      <c r="A35" s="2">
        <v>33</v>
      </c>
      <c r="B35" s="3" t="s">
        <v>89</v>
      </c>
      <c r="C35" s="3" t="s">
        <v>90</v>
      </c>
      <c r="D35" s="3" t="s">
        <v>59</v>
      </c>
      <c r="E35" s="2" t="s">
        <v>46</v>
      </c>
      <c r="F35" s="3" t="s">
        <v>32</v>
      </c>
      <c r="G35" s="2" t="s">
        <v>22</v>
      </c>
      <c r="H35" s="4">
        <v>800</v>
      </c>
      <c r="I35" s="2">
        <v>27</v>
      </c>
      <c r="J35" s="5">
        <v>14.33</v>
      </c>
      <c r="L35" s="11" t="s">
        <v>19</v>
      </c>
      <c r="M35" s="10"/>
      <c r="N35" s="10"/>
      <c r="O35" s="10">
        <v>1</v>
      </c>
      <c r="P35" s="10"/>
      <c r="Q35" s="10"/>
      <c r="R35" s="10">
        <v>1</v>
      </c>
    </row>
    <row r="36" spans="1:18" x14ac:dyDescent="0.25">
      <c r="A36" s="2">
        <v>34</v>
      </c>
      <c r="B36" s="3" t="s">
        <v>91</v>
      </c>
      <c r="C36" s="3" t="s">
        <v>92</v>
      </c>
      <c r="D36" s="3" t="s">
        <v>59</v>
      </c>
      <c r="E36" s="2" t="s">
        <v>46</v>
      </c>
      <c r="F36" s="3" t="s">
        <v>32</v>
      </c>
      <c r="G36" s="2" t="s">
        <v>15</v>
      </c>
      <c r="H36" s="4">
        <v>800</v>
      </c>
      <c r="I36" s="2">
        <v>18</v>
      </c>
      <c r="J36" s="5">
        <v>16.899999999999999</v>
      </c>
      <c r="L36" s="11" t="s">
        <v>14</v>
      </c>
      <c r="M36" s="10">
        <v>1</v>
      </c>
      <c r="N36" s="10"/>
      <c r="O36" s="10"/>
      <c r="P36" s="10"/>
      <c r="Q36" s="10"/>
      <c r="R36" s="10">
        <v>1</v>
      </c>
    </row>
    <row r="37" spans="1:18" x14ac:dyDescent="0.25">
      <c r="A37" s="2">
        <v>35</v>
      </c>
      <c r="B37" s="3" t="s">
        <v>93</v>
      </c>
      <c r="C37" s="3" t="s">
        <v>94</v>
      </c>
      <c r="D37" s="3" t="s">
        <v>12</v>
      </c>
      <c r="E37" s="2" t="s">
        <v>95</v>
      </c>
      <c r="F37" s="3" t="s">
        <v>14</v>
      </c>
      <c r="G37" s="2" t="s">
        <v>15</v>
      </c>
      <c r="H37" s="4">
        <v>740</v>
      </c>
      <c r="I37" s="2">
        <v>19</v>
      </c>
      <c r="J37" s="5">
        <v>14.8</v>
      </c>
      <c r="L37" s="11" t="s">
        <v>29</v>
      </c>
      <c r="M37" s="10"/>
      <c r="N37" s="10">
        <v>1</v>
      </c>
      <c r="O37" s="10"/>
      <c r="P37" s="10"/>
      <c r="Q37" s="10"/>
      <c r="R37" s="10">
        <v>1</v>
      </c>
    </row>
    <row r="38" spans="1:18" x14ac:dyDescent="0.25">
      <c r="A38" s="2">
        <v>36</v>
      </c>
      <c r="B38" s="3" t="s">
        <v>96</v>
      </c>
      <c r="C38" s="3" t="s">
        <v>97</v>
      </c>
      <c r="D38" s="3" t="s">
        <v>12</v>
      </c>
      <c r="E38" s="2" t="s">
        <v>95</v>
      </c>
      <c r="F38" s="3" t="s">
        <v>14</v>
      </c>
      <c r="G38" s="2" t="s">
        <v>15</v>
      </c>
      <c r="H38" s="4">
        <v>800</v>
      </c>
      <c r="I38" s="2">
        <v>20</v>
      </c>
      <c r="J38" s="5">
        <v>12</v>
      </c>
      <c r="L38" s="9" t="s">
        <v>109</v>
      </c>
      <c r="M38" s="10">
        <v>8</v>
      </c>
      <c r="N38" s="10">
        <v>11</v>
      </c>
      <c r="O38" s="10">
        <v>9</v>
      </c>
      <c r="P38" s="10">
        <v>6</v>
      </c>
      <c r="Q38" s="10">
        <v>7</v>
      </c>
      <c r="R38" s="10">
        <v>41</v>
      </c>
    </row>
    <row r="39" spans="1:18" x14ac:dyDescent="0.25">
      <c r="A39" s="2">
        <v>37</v>
      </c>
      <c r="B39" s="3" t="s">
        <v>98</v>
      </c>
      <c r="C39" s="3" t="s">
        <v>99</v>
      </c>
      <c r="D39" s="3" t="s">
        <v>37</v>
      </c>
      <c r="E39" s="2" t="s">
        <v>95</v>
      </c>
      <c r="F39" s="3" t="s">
        <v>32</v>
      </c>
      <c r="G39" s="2" t="s">
        <v>22</v>
      </c>
      <c r="H39" s="4">
        <v>700</v>
      </c>
      <c r="I39" s="2">
        <v>26</v>
      </c>
      <c r="J39" s="5">
        <v>8</v>
      </c>
    </row>
    <row r="40" spans="1:18" x14ac:dyDescent="0.25">
      <c r="A40" s="2">
        <v>38</v>
      </c>
      <c r="B40" s="3" t="s">
        <v>100</v>
      </c>
      <c r="C40" s="3" t="s">
        <v>101</v>
      </c>
      <c r="D40" s="3" t="s">
        <v>18</v>
      </c>
      <c r="E40" s="2" t="s">
        <v>95</v>
      </c>
      <c r="F40" s="3" t="s">
        <v>29</v>
      </c>
      <c r="G40" s="2" t="s">
        <v>15</v>
      </c>
      <c r="H40" s="4">
        <v>1200</v>
      </c>
      <c r="I40" s="2">
        <v>21</v>
      </c>
      <c r="J40" s="5">
        <v>10.3</v>
      </c>
      <c r="L40" s="15" t="s">
        <v>115</v>
      </c>
      <c r="M40" s="15"/>
    </row>
    <row r="41" spans="1:18" x14ac:dyDescent="0.25">
      <c r="A41" s="2">
        <v>39</v>
      </c>
      <c r="B41" s="3" t="s">
        <v>102</v>
      </c>
      <c r="C41" s="3" t="s">
        <v>36</v>
      </c>
      <c r="D41" s="3" t="s">
        <v>37</v>
      </c>
      <c r="E41" s="2" t="s">
        <v>95</v>
      </c>
      <c r="F41" s="3" t="s">
        <v>29</v>
      </c>
      <c r="G41" s="2" t="s">
        <v>22</v>
      </c>
      <c r="H41" s="4">
        <v>1080</v>
      </c>
      <c r="I41" s="2">
        <v>19</v>
      </c>
      <c r="J41" s="5">
        <v>14.75</v>
      </c>
      <c r="L41" s="8" t="s">
        <v>108</v>
      </c>
      <c r="M41" s="7" t="s">
        <v>114</v>
      </c>
    </row>
    <row r="42" spans="1:18" x14ac:dyDescent="0.25">
      <c r="A42" s="2">
        <v>40</v>
      </c>
      <c r="B42" s="3" t="s">
        <v>103</v>
      </c>
      <c r="C42" s="3" t="s">
        <v>104</v>
      </c>
      <c r="D42" s="3" t="s">
        <v>37</v>
      </c>
      <c r="E42" s="2" t="s">
        <v>95</v>
      </c>
      <c r="F42" s="3" t="s">
        <v>19</v>
      </c>
      <c r="G42" s="2" t="s">
        <v>22</v>
      </c>
      <c r="H42" s="4">
        <v>1200</v>
      </c>
      <c r="I42" s="2">
        <v>22</v>
      </c>
      <c r="J42" s="5">
        <v>18</v>
      </c>
      <c r="L42" s="9" t="s">
        <v>26</v>
      </c>
      <c r="M42" s="14">
        <v>16.2</v>
      </c>
    </row>
    <row r="43" spans="1:18" x14ac:dyDescent="0.25">
      <c r="A43" s="2">
        <v>41</v>
      </c>
      <c r="B43" s="3" t="s">
        <v>105</v>
      </c>
      <c r="C43" s="3" t="s">
        <v>106</v>
      </c>
      <c r="D43" s="3" t="s">
        <v>37</v>
      </c>
      <c r="E43" s="2" t="s">
        <v>46</v>
      </c>
      <c r="F43" s="3" t="s">
        <v>14</v>
      </c>
      <c r="G43" s="2" t="s">
        <v>15</v>
      </c>
      <c r="H43" s="4">
        <v>1200</v>
      </c>
      <c r="I43" s="2">
        <v>23</v>
      </c>
      <c r="J43" s="5">
        <v>15</v>
      </c>
      <c r="L43" s="9" t="s">
        <v>32</v>
      </c>
      <c r="M43" s="14">
        <v>13.838333333333333</v>
      </c>
    </row>
    <row r="44" spans="1:18" x14ac:dyDescent="0.25">
      <c r="L44" s="9" t="s">
        <v>19</v>
      </c>
      <c r="M44" s="14">
        <v>13.128333333333332</v>
      </c>
    </row>
    <row r="45" spans="1:18" x14ac:dyDescent="0.25">
      <c r="L45" s="9" t="s">
        <v>14</v>
      </c>
      <c r="M45" s="14">
        <v>13.779090909090909</v>
      </c>
    </row>
    <row r="46" spans="1:18" x14ac:dyDescent="0.25">
      <c r="L46" s="9" t="s">
        <v>29</v>
      </c>
      <c r="M46" s="14">
        <v>14.036000000000001</v>
      </c>
    </row>
    <row r="47" spans="1:18" x14ac:dyDescent="0.25">
      <c r="L47" s="9" t="s">
        <v>109</v>
      </c>
      <c r="M47" s="14">
        <v>13.881951219512194</v>
      </c>
    </row>
  </sheetData>
  <conditionalFormatting sqref="L13:R38">
    <cfRule type="containsBlanks" dxfId="21" priority="1">
      <formula>LEN(TRIM(L13))=0</formula>
    </cfRule>
  </conditionalFormatting>
  <pageMargins left="0.7" right="0.7" top="0.75" bottom="0.75" header="0.3" footer="0.3"/>
  <pageSetup paperSize="9"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cuadro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Luna Ojeda</dc:creator>
  <cp:lastModifiedBy>Gerardo Luna Ojeda</cp:lastModifiedBy>
  <dcterms:created xsi:type="dcterms:W3CDTF">2025-12-06T01:58:09Z</dcterms:created>
  <dcterms:modified xsi:type="dcterms:W3CDTF">2025-12-06T02:38:47Z</dcterms:modified>
</cp:coreProperties>
</file>